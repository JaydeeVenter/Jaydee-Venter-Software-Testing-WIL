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Jaydee Venter\Software Testing Simulation Project (WIL)\BankCoreSolution\BankCore.TestDocs\"/>
    </mc:Choice>
  </mc:AlternateContent>
  <xr:revisionPtr revIDLastSave="0" documentId="13_ncr:1_{D29D30C9-8642-4E61-8108-DB6DC23451E6}" xr6:coauthVersionLast="47" xr6:coauthVersionMax="47" xr10:uidLastSave="{00000000-0000-0000-0000-000000000000}"/>
  <bookViews>
    <workbookView xWindow="-28920" yWindow="-120" windowWidth="29040" windowHeight="16440" activeTab="1" xr2:uid="{00000000-000D-0000-FFFF-FFFF00000000}"/>
  </bookViews>
  <sheets>
    <sheet name="Defect Log" sheetId="1" r:id="rId1"/>
    <sheet name="Char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2" l="1"/>
  <c r="D35" i="2"/>
  <c r="E35" i="2"/>
  <c r="B35" i="2"/>
  <c r="C17" i="2"/>
  <c r="D17" i="2"/>
  <c r="E17" i="2"/>
  <c r="B17" i="2"/>
  <c r="F17" i="2" s="1"/>
  <c r="B21" i="2"/>
  <c r="B22" i="2"/>
  <c r="B23" i="2"/>
  <c r="B20" i="2"/>
  <c r="B3" i="2"/>
  <c r="B4" i="2"/>
  <c r="B5" i="2"/>
  <c r="B2" i="2"/>
  <c r="F35" i="2" l="1"/>
  <c r="B24" i="2"/>
  <c r="B6" i="2"/>
</calcChain>
</file>

<file path=xl/sharedStrings.xml><?xml version="1.0" encoding="utf-8"?>
<sst xmlns="http://schemas.openxmlformats.org/spreadsheetml/2006/main" count="310" uniqueCount="171">
  <si>
    <t>Defect ID</t>
  </si>
  <si>
    <t>Title</t>
  </si>
  <si>
    <t>Severity</t>
  </si>
  <si>
    <t>Priority</t>
  </si>
  <si>
    <t>Status</t>
  </si>
  <si>
    <t>Module</t>
  </si>
  <si>
    <t>Test Case ID</t>
  </si>
  <si>
    <t>Steps to Reproduce</t>
  </si>
  <si>
    <t>Expected Result</t>
  </si>
  <si>
    <t>Actual Result</t>
  </si>
  <si>
    <t>Root Cause</t>
  </si>
  <si>
    <t>Critical</t>
  </si>
  <si>
    <t>P1</t>
  </si>
  <si>
    <t>Transaction Engine</t>
  </si>
  <si>
    <t>Retest Result</t>
  </si>
  <si>
    <t>Pass</t>
  </si>
  <si>
    <t>Date Logged</t>
  </si>
  <si>
    <t>Date Closed</t>
  </si>
  <si>
    <t>BUG-001</t>
  </si>
  <si>
    <t>BUG-002</t>
  </si>
  <si>
    <t>BUG-003</t>
  </si>
  <si>
    <t>BUG-004</t>
  </si>
  <si>
    <t>BUG-005</t>
  </si>
  <si>
    <t>BUG-006</t>
  </si>
  <si>
    <t>BUG-007</t>
  </si>
  <si>
    <t>BUG-008</t>
  </si>
  <si>
    <t>BUG-009</t>
  </si>
  <si>
    <t>BUG-010</t>
  </si>
  <si>
    <t>BUG-011</t>
  </si>
  <si>
    <t>BUG-012</t>
  </si>
  <si>
    <t>BUG-013</t>
  </si>
  <si>
    <t>BUG-014</t>
  </si>
  <si>
    <t>BUG-015</t>
  </si>
  <si>
    <t>BUG-016</t>
  </si>
  <si>
    <t>BUG-017</t>
  </si>
  <si>
    <t>High</t>
  </si>
  <si>
    <t>Fix Applied(Simulated)</t>
  </si>
  <si>
    <t>Fixed</t>
  </si>
  <si>
    <t>Validation Library</t>
  </si>
  <si>
    <t>TC-BEMS-VALIDLIB-20</t>
  </si>
  <si>
    <t xml:space="preserve">Navigate to an ID field, and enter </t>
  </si>
  <si>
    <t>Program accepts invalid ID inputs whereby the months are allowed to exceed 12</t>
  </si>
  <si>
    <t>The application should reject the input and display an error message</t>
  </si>
  <si>
    <t>The application accepts the input</t>
  </si>
  <si>
    <t>Program incorreclty allows 13 to pass the validation check</t>
  </si>
  <si>
    <t>The IsValidSouthAfricanIdNumber()  method was updated to check less than or equal to 12</t>
  </si>
  <si>
    <t>06/07/2026</t>
  </si>
  <si>
    <t>07/07/2026</t>
  </si>
  <si>
    <t>Medium</t>
  </si>
  <si>
    <t>P3</t>
  </si>
  <si>
    <t>TC-BEMS-VALIDLIB-17</t>
  </si>
  <si>
    <t>P2</t>
  </si>
  <si>
    <t>P4</t>
  </si>
  <si>
    <t>Navigate to a field that accepts an amount, and enter 999999,99 to trigger the validation check</t>
  </si>
  <si>
    <t>Program incorrectly validates the max allowed currency amount boundary</t>
  </si>
  <si>
    <t>The method rejects the 999999.99 value. But isValidAmount() is never used in the application</t>
  </si>
  <si>
    <t>The method uses &lt; (less than) instead of &lt;= (less than or equal to)
Note: this methos was also nevber coded into the app</t>
  </si>
  <si>
    <t>The conditional operator was changed to &lt;=, and the isValidAmount() method was integrated into the app</t>
  </si>
  <si>
    <t>The program accepts any date year, even if in the pass</t>
  </si>
  <si>
    <t>Low</t>
  </si>
  <si>
    <t>TC-BEMS-VALIDLIB-19</t>
  </si>
  <si>
    <t>Navigate to a field that accepts an date, and enter 0091-01-01</t>
  </si>
  <si>
    <t>The application should reject the date</t>
  </si>
  <si>
    <t>The app does not validate wether the year entered is valid</t>
  </si>
  <si>
    <t>A method was implemented to validate the year of the date</t>
  </si>
  <si>
    <t>Authentication</t>
  </si>
  <si>
    <t>TC-BEMS-AUTH-21</t>
  </si>
  <si>
    <t>TC-BEMS-AUTH-20</t>
  </si>
  <si>
    <t>TC-BEMS-AUTH-19</t>
  </si>
  <si>
    <t>The application does not allow a locked account to log back in, even after the lockoutExpiry time has expired</t>
  </si>
  <si>
    <t>The program still allows operations even though the session owner lacks permission</t>
  </si>
  <si>
    <t>Login as admin, change users to lesser priviledged</t>
  </si>
  <si>
    <t>The program should not allow the permissions to remain the same</t>
  </si>
  <si>
    <t>The user remains to have permission, as long as the session is not ended</t>
  </si>
  <si>
    <t>The application does not check whether the session is active or expired before granting permission</t>
  </si>
  <si>
    <t>Added a method to check session activity before granting permission</t>
  </si>
  <si>
    <t>Logged out sessions pass validation</t>
  </si>
  <si>
    <t>Login to a session, wait for session token to expire, then perform action</t>
  </si>
  <si>
    <t>The application should require reauthentication to make the session active again</t>
  </si>
  <si>
    <t>The program never checks the activity of sessions</t>
  </si>
  <si>
    <t>The session never expires and remains active</t>
  </si>
  <si>
    <t>A the validate method was updated to check whether the session is active or not</t>
  </si>
  <si>
    <t>Lock an account by entering invalid credentials, and wait for logout expiry time to pass</t>
  </si>
  <si>
    <t>The program should allow the user to attempt login after the timer has expired</t>
  </si>
  <si>
    <t>The program never allows the user to log back in, even if the logout timeperiod has passed</t>
  </si>
  <si>
    <t>The program never checks whether the lockout expiry time has expired</t>
  </si>
  <si>
    <t>The Login method was updated to check whether the lockout expiry time has passed</t>
  </si>
  <si>
    <t>Program allows users to generates reports for dates that have not passed yet</t>
  </si>
  <si>
    <t>Reporting Engine</t>
  </si>
  <si>
    <t>TC-BEMS-REPORT-06</t>
  </si>
  <si>
    <t>When generating a report, enter dates in the future</t>
  </si>
  <si>
    <t>The program should not allow the user to generate a report as there is no data yet</t>
  </si>
  <si>
    <t>The program accepts the dates and generates a report</t>
  </si>
  <si>
    <t>The program does not check whether dates have passed before generating a report</t>
  </si>
  <si>
    <t>Add a method to check whether the dates have passed before generating a report</t>
  </si>
  <si>
    <t>Interest Calculator</t>
  </si>
  <si>
    <t>TC-BEMS-INTEREST-01</t>
  </si>
  <si>
    <t>TC-BEMS-INTEREST-19</t>
  </si>
  <si>
    <t>TC-BEMS-LOAN-25</t>
  </si>
  <si>
    <t>Loan Processing</t>
  </si>
  <si>
    <t>TC-BEMS-LOAN-32</t>
  </si>
  <si>
    <t>TC-BEMS-LOAN-33</t>
  </si>
  <si>
    <t>TC-BEMS-TRANS-22</t>
  </si>
  <si>
    <t>TC-BEMS-TRANS-30</t>
  </si>
  <si>
    <t>TC-BEMS-ACC-24</t>
  </si>
  <si>
    <t>TC-BEMS-ACC-25</t>
  </si>
  <si>
    <t>Account Management</t>
  </si>
  <si>
    <t>Simple interest is calculated incorrectly</t>
  </si>
  <si>
    <t>Calculate simple interest on a specific value</t>
  </si>
  <si>
    <t>The program should return a value that is matyhematically correct</t>
  </si>
  <si>
    <t>The program returns a value that is mathematically incorrect</t>
  </si>
  <si>
    <t>When the system calculates the monthly rate, it devides by 10 instead of 12</t>
  </si>
  <si>
    <t>The formula has been updated</t>
  </si>
  <si>
    <t>System returns a future value based on compund interest regardless of whether the user requests simple interest</t>
  </si>
  <si>
    <t>Calculate a future value, and select simple interest</t>
  </si>
  <si>
    <t>The program should calculate the future value based on simple interest</t>
  </si>
  <si>
    <t>The program calculates the future value based on compounding interest regardless of whether the user requests simple interest to be used</t>
  </si>
  <si>
    <t>The FutureValue() methods if (isCompound) else branch incorrectly calls CompoundInterest instead of SimpleInterest</t>
  </si>
  <si>
    <t>The else branch in the FutureValue method has been fixed</t>
  </si>
  <si>
    <t>Daily withdrawal limit is set to the amount the user initially deposits</t>
  </si>
  <si>
    <t xml:space="preserve">Create a new account, deposit a low initial balance for R350, attempt to withdraw R400, which is above the deposit limit, but below the withdrawal limit </t>
  </si>
  <si>
    <t>The program should allow the user to make the withdrawal</t>
  </si>
  <si>
    <t>The program does not allow the withdrawal to take place, as the withdrawal limit is incorrect</t>
  </si>
  <si>
    <t>The initial deposit was incorrectly set as daily withdrawal limiit</t>
  </si>
  <si>
    <t>A method was put in place to prompt the user to enter a daily withdrawal limit upon creating the account</t>
  </si>
  <si>
    <t>The program allows an account with debt to be closed</t>
  </si>
  <si>
    <t>Create an account, take a loan out on the account, close the account</t>
  </si>
  <si>
    <t>The program should not allow the account to be closed as it is in debt</t>
  </si>
  <si>
    <t>The program incorrectly closes the account</t>
  </si>
  <si>
    <t>The applicatrion source code incorrectly checks for Balance &gt; 0, instead of !=0</t>
  </si>
  <si>
    <t>The Method was updated with !=0</t>
  </si>
  <si>
    <t>System allows exact full balance to be withdrawn from the account</t>
  </si>
  <si>
    <t>Withdraw the exact balance amount from the account</t>
  </si>
  <si>
    <t>The program should reject the withdrawal</t>
  </si>
  <si>
    <t>The system incorrecly approves the withdrawal allowing the account balance to be 0</t>
  </si>
  <si>
    <t>The program logic incorrectly uses &lt; for the insufficient funds logic instead of &lt;=</t>
  </si>
  <si>
    <t>The logic was updated</t>
  </si>
  <si>
    <t>Daily withdrawal limit is never reset</t>
  </si>
  <si>
    <t>Withdraw daily allowed limit, wait a day, attempt to make a withdrawal</t>
  </si>
  <si>
    <t>The program should allow the user to make the withdrawal, as the limit has been reset</t>
  </si>
  <si>
    <t>The program does not allow the withdrawal to happen as the limit was never resey</t>
  </si>
  <si>
    <t>The daily withdrawal limit is never reset, and keeps on adding up</t>
  </si>
  <si>
    <t>The withdrawal method logic was updated to reset the daily limit if the last withdrawal was made a day before the exact time of checking</t>
  </si>
  <si>
    <t>System allows transfers to me made to closed or dormant accounts</t>
  </si>
  <si>
    <t>Set an account as dormant or closed and attempt to make a transfer</t>
  </si>
  <si>
    <t>The program should not allow the transfer to happen as the destination account is closed</t>
  </si>
  <si>
    <t>The program completes the transfer.</t>
  </si>
  <si>
    <t>The program does not check whether the destination account is active</t>
  </si>
  <si>
    <t>The transfer method was updated to check the account status of the destination accounts</t>
  </si>
  <si>
    <t>DTI is incorrectly calculated by not including monthly installment in the calculation</t>
  </si>
  <si>
    <t>Apply for a loan that will push monthly debt over the allowed limit</t>
  </si>
  <si>
    <t>The system should not allow the loan to be approved</t>
  </si>
  <si>
    <t>The program approves the loan, as it does not calculate the new installement into the userrs DTI</t>
  </si>
  <si>
    <t>The program uses a faulty equation to calculate the DTI</t>
  </si>
  <si>
    <t>The equation was updated to include the new monthly installment</t>
  </si>
  <si>
    <t>The applicaion puts the account into a negative when making a loan repayment exceeding the value of the loan</t>
  </si>
  <si>
    <t>Create a loan on an account, submit a repayment value of more than the amount of the loan</t>
  </si>
  <si>
    <t>The loan should go away, and the user should have credit</t>
  </si>
  <si>
    <t>The program incorrectly puts the account into a negative</t>
  </si>
  <si>
    <t>The program incorrectly minuses the full repayment amount from the value of the loan</t>
  </si>
  <si>
    <t>Method updated to check: if (amount &gt; loan.OutstandingBalance) amount = loan.OutstandingBalance;</t>
  </si>
  <si>
    <t>Settlement fee is calciulated on the principal amount instead of the outstanding loan balance</t>
  </si>
  <si>
    <t>Calculate the settlement of a loan that is almost paid off</t>
  </si>
  <si>
    <t>The fee should be calculated as a settlement percentage of the outstanding amount</t>
  </si>
  <si>
    <t>The fee is correctly calculated as a percentage of the principal amount</t>
  </si>
  <si>
    <t>The program incorrectly uses the principal amount in the settlement calculation</t>
  </si>
  <si>
    <t>The calculation was updated to use the outstanding balance instead of the principal amount</t>
  </si>
  <si>
    <t>Total</t>
  </si>
  <si>
    <t>Severity Per Module</t>
  </si>
  <si>
    <t>Priority Per Module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</si>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</sst>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1" xfId="0" applyBorder="1"/>
    <xf numFmtId="0" fontId="0" fillId="0" borderId="1" xfId="0" applyBorder="1" applyAlignment="1"/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9" xfId="0" applyBorder="1"/>
    <xf numFmtId="0" fontId="0" fillId="0" borderId="5" xfId="0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9" xfId="0" applyBorder="1" applyAlignment="1"/>
    <xf numFmtId="0" fontId="0" fillId="0" borderId="0" xfId="0" applyBorder="1" applyAlignment="1"/>
    <xf numFmtId="0" fontId="0" fillId="0" borderId="0" xfId="0" applyBorder="1"/>
    <xf numFmtId="0" fontId="0" fillId="0" borderId="11" xfId="0" applyBorder="1" applyAlignment="1"/>
    <xf numFmtId="0" fontId="2" fillId="2" borderId="10" xfId="0" applyFont="1" applyFill="1" applyBorder="1"/>
    <xf numFmtId="0" fontId="2" fillId="2" borderId="8" xfId="0" applyFont="1" applyFill="1" applyBorder="1"/>
    <xf numFmtId="0" fontId="2" fillId="2" borderId="1" xfId="0" applyFont="1" applyFill="1" applyBorder="1"/>
    <xf numFmtId="0" fontId="2" fillId="2" borderId="7" xfId="0" applyFont="1" applyFill="1" applyBorder="1"/>
  </cellXfs>
  <cellStyles count="1">
    <cellStyle name="Normal" xfId="0" builtinId="0"/>
  </cellStyles>
  <dxfs count="43"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Total Severity</a:t>
            </a:r>
          </a:p>
          <a:p>
            <a:pPr>
              <a:defRPr/>
            </a:pPr>
            <a:r>
              <a:rPr lang="en-ZA"/>
              <a:t>All Modules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Charts!$A$2:$A$5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Critical</c:v>
                </c:pt>
              </c:strCache>
            </c:strRef>
          </c:cat>
          <c:val>
            <c:numRef>
              <c:f>Charts!$B$2:$B$5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6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F2-4D9A-8AA9-715A8BE88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Total Priority</a:t>
            </a:r>
            <a:br>
              <a:rPr lang="en-ZA"/>
            </a:br>
            <a:r>
              <a:rPr lang="en-ZA"/>
              <a:t>All</a:t>
            </a:r>
            <a:r>
              <a:rPr lang="en-ZA" baseline="0"/>
              <a:t> Modules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Charts!$A$20:$A$23</c:f>
              <c:strCache>
                <c:ptCount val="4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</c:strCache>
            </c:strRef>
          </c:cat>
          <c:val>
            <c:numRef>
              <c:f>Charts!$B$20:$B$23</c:f>
              <c:numCache>
                <c:formatCode>General</c:formatCode>
                <c:ptCount val="4"/>
                <c:pt idx="0">
                  <c:v>9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3E-4620-915F-D575DF1CA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Severity Score</a:t>
            </a:r>
            <a:r>
              <a:rPr lang="en-ZA" baseline="0"/>
              <a:t> Per Module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Charts!$A$10</c:f>
              <c:strCache>
                <c:ptCount val="1"/>
                <c:pt idx="0">
                  <c:v>Account Management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Charts!$B$9:$E$9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Critical</c:v>
                </c:pt>
              </c:strCache>
            </c:strRef>
          </c:cat>
          <c:val>
            <c:numRef>
              <c:f>Charts!$B$10:$E$10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6A-4BDF-9A16-B75C4B66D295}"/>
            </c:ext>
          </c:extLst>
        </c:ser>
        <c:ser>
          <c:idx val="1"/>
          <c:order val="1"/>
          <c:tx>
            <c:strRef>
              <c:f>Charts!$A$11</c:f>
              <c:strCache>
                <c:ptCount val="1"/>
                <c:pt idx="0">
                  <c:v>Authentication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Charts!$B$9:$E$9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Critical</c:v>
                </c:pt>
              </c:strCache>
            </c:strRef>
          </c:cat>
          <c:val>
            <c:numRef>
              <c:f>Charts!$B$11:$E$11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6A-4BDF-9A16-B75C4B66D295}"/>
            </c:ext>
          </c:extLst>
        </c:ser>
        <c:ser>
          <c:idx val="2"/>
          <c:order val="2"/>
          <c:tx>
            <c:strRef>
              <c:f>Charts!$A$12</c:f>
              <c:strCache>
                <c:ptCount val="1"/>
                <c:pt idx="0">
                  <c:v>Validation Library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Charts!$B$9:$E$9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Critical</c:v>
                </c:pt>
              </c:strCache>
            </c:strRef>
          </c:cat>
          <c:val>
            <c:numRef>
              <c:f>Charts!$B$12:$E$12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6A-4BDF-9A16-B75C4B66D295}"/>
            </c:ext>
          </c:extLst>
        </c:ser>
        <c:ser>
          <c:idx val="3"/>
          <c:order val="3"/>
          <c:tx>
            <c:strRef>
              <c:f>Charts!$A$13</c:f>
              <c:strCache>
                <c:ptCount val="1"/>
                <c:pt idx="0">
                  <c:v>Interest Calculator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Charts!$B$9:$E$9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Critical</c:v>
                </c:pt>
              </c:strCache>
            </c:strRef>
          </c:cat>
          <c:val>
            <c:numRef>
              <c:f>Charts!$B$13:$E$13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6A-4BDF-9A16-B75C4B66D295}"/>
            </c:ext>
          </c:extLst>
        </c:ser>
        <c:ser>
          <c:idx val="4"/>
          <c:order val="4"/>
          <c:tx>
            <c:strRef>
              <c:f>Charts!$A$14</c:f>
              <c:strCache>
                <c:ptCount val="1"/>
                <c:pt idx="0">
                  <c:v>Transaction Engine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Charts!$B$9:$E$9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Critical</c:v>
                </c:pt>
              </c:strCache>
            </c:strRef>
          </c:cat>
          <c:val>
            <c:numRef>
              <c:f>Charts!$B$14:$E$14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56A-4BDF-9A16-B75C4B66D295}"/>
            </c:ext>
          </c:extLst>
        </c:ser>
        <c:ser>
          <c:idx val="5"/>
          <c:order val="5"/>
          <c:tx>
            <c:strRef>
              <c:f>Charts!$A$15</c:f>
              <c:strCache>
                <c:ptCount val="1"/>
                <c:pt idx="0">
                  <c:v>Loan Processing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Charts!$B$9:$E$9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Critical</c:v>
                </c:pt>
              </c:strCache>
            </c:strRef>
          </c:cat>
          <c:val>
            <c:numRef>
              <c:f>Charts!$B$15:$E$15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56A-4BDF-9A16-B75C4B66D295}"/>
            </c:ext>
          </c:extLst>
        </c:ser>
        <c:ser>
          <c:idx val="6"/>
          <c:order val="6"/>
          <c:tx>
            <c:strRef>
              <c:f>Charts!$A$16</c:f>
              <c:strCache>
                <c:ptCount val="1"/>
                <c:pt idx="0">
                  <c:v>Reporting Engine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Charts!$B$9:$E$9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Critical</c:v>
                </c:pt>
              </c:strCache>
            </c:strRef>
          </c:cat>
          <c:val>
            <c:numRef>
              <c:f>Charts!$B$16:$E$16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56A-4BDF-9A16-B75C4B66D29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6644544"/>
        <c:axId val="86728240"/>
      </c:barChart>
      <c:catAx>
        <c:axId val="1666445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Severity</a:t>
                </a:r>
                <a:r>
                  <a:rPr lang="en-ZA" baseline="0"/>
                  <a:t> 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28240"/>
        <c:crosses val="autoZero"/>
        <c:auto val="1"/>
        <c:lblAlgn val="ctr"/>
        <c:lblOffset val="100"/>
        <c:noMultiLvlLbl val="0"/>
      </c:catAx>
      <c:valAx>
        <c:axId val="86728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 Severity</a:t>
                </a:r>
                <a:r>
                  <a:rPr lang="en-ZA" baseline="0"/>
                  <a:t> score per module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4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Priority Score</a:t>
            </a:r>
            <a:r>
              <a:rPr lang="en-ZA" baseline="0"/>
              <a:t> Per Module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Charts!$A$28</c:f>
              <c:strCache>
                <c:ptCount val="1"/>
                <c:pt idx="0">
                  <c:v>Account Management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Charts!$B$27:$E$27</c:f>
              <c:strCache>
                <c:ptCount val="4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</c:strCache>
            </c:strRef>
          </c:cat>
          <c:val>
            <c:numRef>
              <c:f>Charts!$B$28:$E$28</c:f>
              <c:numCache>
                <c:formatCode>General</c:formatCode>
                <c:ptCount val="4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6-4E05-80D2-27D0DB9D6F6A}"/>
            </c:ext>
          </c:extLst>
        </c:ser>
        <c:ser>
          <c:idx val="1"/>
          <c:order val="1"/>
          <c:tx>
            <c:strRef>
              <c:f>Charts!$A$29</c:f>
              <c:strCache>
                <c:ptCount val="1"/>
                <c:pt idx="0">
                  <c:v>Authentication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Charts!$B$27:$E$27</c:f>
              <c:strCache>
                <c:ptCount val="4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</c:strCache>
            </c:strRef>
          </c:cat>
          <c:val>
            <c:numRef>
              <c:f>Charts!$B$29:$E$29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6-4E05-80D2-27D0DB9D6F6A}"/>
            </c:ext>
          </c:extLst>
        </c:ser>
        <c:ser>
          <c:idx val="2"/>
          <c:order val="2"/>
          <c:tx>
            <c:strRef>
              <c:f>Charts!$A$30</c:f>
              <c:strCache>
                <c:ptCount val="1"/>
                <c:pt idx="0">
                  <c:v>Validation Library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Charts!$B$27:$E$27</c:f>
              <c:strCache>
                <c:ptCount val="4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</c:strCache>
            </c:strRef>
          </c:cat>
          <c:val>
            <c:numRef>
              <c:f>Charts!$B$30:$E$30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6-4E05-80D2-27D0DB9D6F6A}"/>
            </c:ext>
          </c:extLst>
        </c:ser>
        <c:ser>
          <c:idx val="3"/>
          <c:order val="3"/>
          <c:tx>
            <c:strRef>
              <c:f>Charts!$A$31</c:f>
              <c:strCache>
                <c:ptCount val="1"/>
                <c:pt idx="0">
                  <c:v>Interest Calculator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Charts!$B$27:$E$27</c:f>
              <c:strCache>
                <c:ptCount val="4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</c:strCache>
            </c:strRef>
          </c:cat>
          <c:val>
            <c:numRef>
              <c:f>Charts!$B$31:$E$31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6-4E05-80D2-27D0DB9D6F6A}"/>
            </c:ext>
          </c:extLst>
        </c:ser>
        <c:ser>
          <c:idx val="4"/>
          <c:order val="4"/>
          <c:tx>
            <c:strRef>
              <c:f>Charts!$A$32</c:f>
              <c:strCache>
                <c:ptCount val="1"/>
                <c:pt idx="0">
                  <c:v>Transaction Engine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Charts!$B$27:$E$27</c:f>
              <c:strCache>
                <c:ptCount val="4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</c:strCache>
            </c:strRef>
          </c:cat>
          <c:val>
            <c:numRef>
              <c:f>Charts!$B$32:$E$32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6-4E05-80D2-27D0DB9D6F6A}"/>
            </c:ext>
          </c:extLst>
        </c:ser>
        <c:ser>
          <c:idx val="5"/>
          <c:order val="5"/>
          <c:tx>
            <c:strRef>
              <c:f>Charts!$A$33</c:f>
              <c:strCache>
                <c:ptCount val="1"/>
                <c:pt idx="0">
                  <c:v>Loan Processing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Charts!$B$27:$E$27</c:f>
              <c:strCache>
                <c:ptCount val="4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</c:strCache>
            </c:strRef>
          </c:cat>
          <c:val>
            <c:numRef>
              <c:f>Charts!$B$33:$E$33</c:f>
              <c:numCache>
                <c:formatCode>General</c:formatCode>
                <c:ptCount val="4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96-4E05-80D2-27D0DB9D6F6A}"/>
            </c:ext>
          </c:extLst>
        </c:ser>
        <c:ser>
          <c:idx val="6"/>
          <c:order val="6"/>
          <c:tx>
            <c:strRef>
              <c:f>Charts!$A$34</c:f>
              <c:strCache>
                <c:ptCount val="1"/>
                <c:pt idx="0">
                  <c:v>Reporting Engine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Charts!$B$27:$E$27</c:f>
              <c:strCache>
                <c:ptCount val="4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</c:strCache>
            </c:strRef>
          </c:cat>
          <c:val>
            <c:numRef>
              <c:f>Charts!$B$34:$E$34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96-4E05-80D2-27D0DB9D6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37350112"/>
        <c:axId val="86774320"/>
      </c:barChart>
      <c:catAx>
        <c:axId val="1373501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Priority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74320"/>
        <c:crosses val="autoZero"/>
        <c:auto val="1"/>
        <c:lblAlgn val="ctr"/>
        <c:lblOffset val="100"/>
        <c:noMultiLvlLbl val="0"/>
      </c:catAx>
      <c:valAx>
        <c:axId val="86774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Priority score per module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5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1</xdr:row>
      <xdr:rowOff>33335</xdr:rowOff>
    </xdr:from>
    <xdr:to>
      <xdr:col>16</xdr:col>
      <xdr:colOff>172725</xdr:colOff>
      <xdr:row>20</xdr:row>
      <xdr:rowOff>13835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543ACD5-6D95-2230-BEAB-24FD73B2C4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176212</xdr:colOff>
      <xdr:row>1</xdr:row>
      <xdr:rowOff>33336</xdr:rowOff>
    </xdr:from>
    <xdr:to>
      <xdr:col>24</xdr:col>
      <xdr:colOff>339412</xdr:colOff>
      <xdr:row>20</xdr:row>
      <xdr:rowOff>13836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6876440-3140-809B-AF3F-54AEE6FA91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9525</xdr:colOff>
      <xdr:row>20</xdr:row>
      <xdr:rowOff>14285</xdr:rowOff>
    </xdr:from>
    <xdr:to>
      <xdr:col>16</xdr:col>
      <xdr:colOff>172725</xdr:colOff>
      <xdr:row>38</xdr:row>
      <xdr:rowOff>185285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60A4B32-B101-2168-0EC6-E52D686EB7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176212</xdr:colOff>
      <xdr:row>20</xdr:row>
      <xdr:rowOff>14287</xdr:rowOff>
    </xdr:from>
    <xdr:to>
      <xdr:col>24</xdr:col>
      <xdr:colOff>339412</xdr:colOff>
      <xdr:row>38</xdr:row>
      <xdr:rowOff>185287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49A890D-93BF-BA53-58EE-0FE02504C2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8F8C1D-0D02-47C1-94B2-EA8A6EB664DE}" name="Table1" displayName="Table1" ref="A1:O18" totalsRowShown="0" headerRowDxfId="42" dataDxfId="41">
  <autoFilter ref="A1:O18" xr:uid="{E28F8C1D-0D02-47C1-94B2-EA8A6EB664DE}"/>
  <tableColumns count="15">
    <tableColumn id="1" xr3:uid="{4A525F9A-CCE5-4329-8B73-A2BC2C8A3E97}" name="Defect ID" dataDxfId="40"/>
    <tableColumn id="2" xr3:uid="{824D71DE-47A8-4A29-A1B2-73267C1276B1}" name="Title" dataDxfId="39"/>
    <tableColumn id="3" xr3:uid="{54F09E5D-2C55-4722-A037-D0FB73A43A72}" name="Severity" dataDxfId="38"/>
    <tableColumn id="4" xr3:uid="{284EBEC1-2D36-441D-B564-17A1575F0219}" name="Priority" dataDxfId="37"/>
    <tableColumn id="5" xr3:uid="{CC74B05F-37DC-48E4-A45C-A17CD2719EBB}" name="Status" dataDxfId="36"/>
    <tableColumn id="6" xr3:uid="{0323D0F1-E856-47B5-B8C6-745F512675B5}" name="Module" dataDxfId="35"/>
    <tableColumn id="7" xr3:uid="{F7FA08FA-A2A5-4AC4-84F3-A4B59A3EC042}" name="Test Case ID" dataDxfId="34"/>
    <tableColumn id="8" xr3:uid="{114A926D-C52D-42DD-9EDE-EC956490F7CF}" name="Steps to Reproduce" dataDxfId="33"/>
    <tableColumn id="9" xr3:uid="{D899D64E-B955-4F70-81B1-C29EE3A55D6A}" name="Expected Result" dataDxfId="32"/>
    <tableColumn id="10" xr3:uid="{0AADF211-44DA-4DCF-9EB1-B5A862172CF6}" name="Actual Result" dataDxfId="31"/>
    <tableColumn id="11" xr3:uid="{7B342294-943D-432E-8345-488DCA6C65D1}" name="Root Cause" dataDxfId="30"/>
    <tableColumn id="12" xr3:uid="{0A825918-71AA-4E0C-845F-762467584976}" name="Fix Applied(Simulated)" dataDxfId="29"/>
    <tableColumn id="13" xr3:uid="{61AB0BB2-EE7A-400F-8780-BC749FED2E3D}" name="Retest Result" dataDxfId="28"/>
    <tableColumn id="14" xr3:uid="{25C59A6A-9F5F-4579-BB7E-4A3F2D11CC4B}" name="Date Logged" dataDxfId="27"/>
    <tableColumn id="15" xr3:uid="{7784C2E2-EB99-47F5-81D7-A56BC5C5EABA}" name="Date Closed" dataDxfId="26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5A5565-D65C-45A2-8677-C921456ABBF3}" name="Table2" displayName="Table2" ref="A1:B6" totalsRowShown="0" headerRowDxfId="20" headerRowBorderDxfId="24" tableBorderDxfId="25" totalsRowBorderDxfId="23">
  <autoFilter ref="A1:B6" xr:uid="{525A5565-D65C-45A2-8677-C921456ABBF3}"/>
  <tableColumns count="2">
    <tableColumn id="1" xr3:uid="{2DD9AD8D-93AF-4B58-BD35-0A99EF19649F}" name="Severity" dataDxfId="22"/>
    <tableColumn id="2" xr3:uid="{09914576-A8DD-4F2B-895B-9322171F8621}" name="Score" dataDxfId="21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01B6E4D-AB66-4E3E-8AA9-BEBBA6A1297D}" name="Table4" displayName="Table4" ref="A9:E17" totalsRowShown="0" headerRowDxfId="1" tableBorderDxfId="0">
  <autoFilter ref="A9:E17" xr:uid="{901B6E4D-AB66-4E3E-8AA9-BEBBA6A1297D}"/>
  <tableColumns count="5">
    <tableColumn id="1" xr3:uid="{A03E7C8C-DAF8-4486-95FA-8D62E4E88653}" name="Severity Per Module" dataDxfId="19"/>
    <tableColumn id="2" xr3:uid="{4A9ED643-B935-423C-AD03-25EC40D2B478}" name="Low" dataDxfId="18"/>
    <tableColumn id="3" xr3:uid="{3FD1ADF2-8937-4404-87A2-CC7B069DCF16}" name="Medium" dataDxfId="17"/>
    <tableColumn id="4" xr3:uid="{975F39D0-CEBE-4949-8E88-0428D9C03D1D}" name="High" dataDxfId="16"/>
    <tableColumn id="5" xr3:uid="{700C8568-487B-4CB8-8990-8290107A2E56}" name="Critical" dataDxfId="15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4AF40EE-FB1D-4C3A-A86A-1B3F8C3F347A}" name="Table5" displayName="Table5" ref="A19:B24" totalsRowShown="0" headerRowDxfId="9" headerRowBorderDxfId="13" tableBorderDxfId="14" totalsRowBorderDxfId="12">
  <autoFilter ref="A19:B24" xr:uid="{F4AF40EE-FB1D-4C3A-A86A-1B3F8C3F347A}"/>
  <tableColumns count="2">
    <tableColumn id="1" xr3:uid="{DC6BB2FF-DBF0-477B-AE0B-2CB1B3939E89}" name="Priority" dataDxfId="11"/>
    <tableColumn id="2" xr3:uid="{2A6A8512-7FE7-4B42-82F9-0B3971901463}" name="Score" dataDxfId="10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3CC72BA-3B7B-470F-AB08-A5A232781820}" name="Table6" displayName="Table6" ref="A27:E35" totalsRowShown="0" headerRowDxfId="2" tableBorderDxfId="8">
  <autoFilter ref="A27:E35" xr:uid="{53CC72BA-3B7B-470F-AB08-A5A232781820}"/>
  <tableColumns count="5">
    <tableColumn id="1" xr3:uid="{0A9B4BEB-DBE3-4DA0-B0BC-39D5AB3300C7}" name="Priority Per Module" dataDxfId="7"/>
    <tableColumn id="2" xr3:uid="{9D131603-EFD0-434C-95F5-3E49579EE848}" name="P1" dataDxfId="6"/>
    <tableColumn id="3" xr3:uid="{DB7C716F-0867-4F3F-9A73-DD1EB30026EE}" name="P2" dataDxfId="5"/>
    <tableColumn id="4" xr3:uid="{20C9B25A-ED13-4C33-AFE8-D5C7850F042C}" name="P3" dataDxfId="4"/>
    <tableColumn id="5" xr3:uid="{57BC389B-CD97-456E-9571-2862EEB262F6}" name="P4" dataDxfId="3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topLeftCell="A8" zoomScale="85" zoomScaleNormal="85" workbookViewId="0">
      <selection activeCell="E35" sqref="E35"/>
    </sheetView>
  </sheetViews>
  <sheetFormatPr defaultRowHeight="15" x14ac:dyDescent="0.25"/>
  <cols>
    <col min="1" max="1" width="11.28515625" customWidth="1"/>
    <col min="2" max="2" width="20.7109375" customWidth="1"/>
    <col min="3" max="3" width="16" customWidth="1"/>
    <col min="4" max="4" width="9.7109375" customWidth="1"/>
    <col min="5" max="5" width="19.5703125" customWidth="1"/>
    <col min="6" max="6" width="17.85546875" customWidth="1"/>
    <col min="7" max="7" width="21.7109375" customWidth="1"/>
    <col min="8" max="8" width="20.28515625" customWidth="1"/>
    <col min="9" max="9" width="17.28515625" customWidth="1"/>
    <col min="10" max="10" width="17.7109375" customWidth="1"/>
    <col min="11" max="11" width="13" customWidth="1"/>
    <col min="12" max="12" width="22.7109375" customWidth="1"/>
    <col min="13" max="13" width="14.85546875" customWidth="1"/>
    <col min="14" max="14" width="14" customWidth="1"/>
    <col min="15" max="15" width="13.7109375" customWidth="1"/>
    <col min="21" max="21" width="43.7109375" customWidth="1"/>
    <col min="22" max="22" width="35.85546875" customWidth="1"/>
    <col min="23" max="23" width="41.85546875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36</v>
      </c>
      <c r="M1" s="2" t="s">
        <v>14</v>
      </c>
      <c r="N1" s="2" t="s">
        <v>16</v>
      </c>
      <c r="O1" s="2" t="s">
        <v>17</v>
      </c>
    </row>
    <row r="2" spans="1:15" ht="90" x14ac:dyDescent="0.25">
      <c r="A2" s="2" t="s">
        <v>18</v>
      </c>
      <c r="B2" s="2" t="s">
        <v>41</v>
      </c>
      <c r="C2" s="2" t="s">
        <v>35</v>
      </c>
      <c r="D2" s="2" t="s">
        <v>12</v>
      </c>
      <c r="E2" s="2" t="s">
        <v>37</v>
      </c>
      <c r="F2" s="2" t="s">
        <v>38</v>
      </c>
      <c r="G2" s="2" t="s">
        <v>39</v>
      </c>
      <c r="H2" s="2" t="s">
        <v>40</v>
      </c>
      <c r="I2" s="2" t="s">
        <v>42</v>
      </c>
      <c r="J2" s="2" t="s">
        <v>43</v>
      </c>
      <c r="K2" s="2" t="s">
        <v>44</v>
      </c>
      <c r="L2" s="2" t="s">
        <v>45</v>
      </c>
      <c r="M2" s="2" t="s">
        <v>15</v>
      </c>
      <c r="N2" s="2" t="s">
        <v>46</v>
      </c>
      <c r="O2" s="2" t="s">
        <v>47</v>
      </c>
    </row>
    <row r="3" spans="1:15" ht="165" x14ac:dyDescent="0.25">
      <c r="A3" s="2" t="s">
        <v>19</v>
      </c>
      <c r="B3" s="2" t="s">
        <v>54</v>
      </c>
      <c r="C3" s="2" t="s">
        <v>35</v>
      </c>
      <c r="D3" s="2" t="s">
        <v>51</v>
      </c>
      <c r="E3" s="2" t="s">
        <v>37</v>
      </c>
      <c r="F3" s="2" t="s">
        <v>38</v>
      </c>
      <c r="G3" s="1" t="s">
        <v>50</v>
      </c>
      <c r="H3" s="2" t="s">
        <v>53</v>
      </c>
      <c r="I3" s="2" t="s">
        <v>42</v>
      </c>
      <c r="J3" s="2" t="s">
        <v>55</v>
      </c>
      <c r="K3" s="2" t="s">
        <v>56</v>
      </c>
      <c r="L3" s="2" t="s">
        <v>57</v>
      </c>
      <c r="M3" s="2" t="s">
        <v>15</v>
      </c>
      <c r="N3" s="2" t="s">
        <v>46</v>
      </c>
      <c r="O3" s="2" t="s">
        <v>47</v>
      </c>
    </row>
    <row r="4" spans="1:15" ht="105" x14ac:dyDescent="0.25">
      <c r="A4" s="2" t="s">
        <v>20</v>
      </c>
      <c r="B4" s="2" t="s">
        <v>107</v>
      </c>
      <c r="C4" s="2" t="s">
        <v>11</v>
      </c>
      <c r="D4" s="2" t="s">
        <v>12</v>
      </c>
      <c r="E4" s="2" t="s">
        <v>37</v>
      </c>
      <c r="F4" s="2" t="s">
        <v>95</v>
      </c>
      <c r="G4" s="1" t="s">
        <v>96</v>
      </c>
      <c r="H4" s="2" t="s">
        <v>108</v>
      </c>
      <c r="I4" s="2" t="s">
        <v>109</v>
      </c>
      <c r="J4" s="2" t="s">
        <v>110</v>
      </c>
      <c r="K4" s="2" t="s">
        <v>111</v>
      </c>
      <c r="L4" s="2" t="s">
        <v>112</v>
      </c>
      <c r="M4" s="2" t="s">
        <v>15</v>
      </c>
      <c r="N4" s="2" t="s">
        <v>46</v>
      </c>
      <c r="O4" s="2" t="s">
        <v>47</v>
      </c>
    </row>
    <row r="5" spans="1:15" ht="180" x14ac:dyDescent="0.25">
      <c r="A5" s="2" t="s">
        <v>21</v>
      </c>
      <c r="B5" s="2" t="s">
        <v>113</v>
      </c>
      <c r="C5" s="2" t="s">
        <v>35</v>
      </c>
      <c r="D5" s="2" t="s">
        <v>51</v>
      </c>
      <c r="E5" s="2" t="s">
        <v>37</v>
      </c>
      <c r="F5" s="2" t="s">
        <v>95</v>
      </c>
      <c r="G5" s="1" t="s">
        <v>97</v>
      </c>
      <c r="H5" s="2" t="s">
        <v>114</v>
      </c>
      <c r="I5" s="2" t="s">
        <v>115</v>
      </c>
      <c r="J5" s="2" t="s">
        <v>116</v>
      </c>
      <c r="K5" s="2" t="s">
        <v>117</v>
      </c>
      <c r="L5" s="2" t="s">
        <v>118</v>
      </c>
      <c r="M5" s="2" t="s">
        <v>15</v>
      </c>
      <c r="N5" s="2" t="s">
        <v>46</v>
      </c>
      <c r="O5" s="2" t="s">
        <v>47</v>
      </c>
    </row>
    <row r="6" spans="1:15" ht="135" x14ac:dyDescent="0.25">
      <c r="A6" s="2" t="s">
        <v>22</v>
      </c>
      <c r="B6" s="2" t="s">
        <v>119</v>
      </c>
      <c r="C6" s="2" t="s">
        <v>35</v>
      </c>
      <c r="D6" s="2" t="s">
        <v>12</v>
      </c>
      <c r="E6" s="2" t="s">
        <v>37</v>
      </c>
      <c r="F6" s="2" t="s">
        <v>106</v>
      </c>
      <c r="G6" s="1" t="s">
        <v>104</v>
      </c>
      <c r="H6" s="2" t="s">
        <v>120</v>
      </c>
      <c r="I6" s="2" t="s">
        <v>121</v>
      </c>
      <c r="J6" s="2" t="s">
        <v>122</v>
      </c>
      <c r="K6" s="2" t="s">
        <v>123</v>
      </c>
      <c r="L6" s="2" t="s">
        <v>124</v>
      </c>
      <c r="M6" s="2" t="s">
        <v>15</v>
      </c>
      <c r="N6" s="2" t="s">
        <v>46</v>
      </c>
      <c r="O6" s="2" t="s">
        <v>47</v>
      </c>
    </row>
    <row r="7" spans="1:15" ht="105" x14ac:dyDescent="0.25">
      <c r="A7" s="2" t="s">
        <v>23</v>
      </c>
      <c r="B7" s="2" t="s">
        <v>125</v>
      </c>
      <c r="C7" s="2" t="s">
        <v>11</v>
      </c>
      <c r="D7" s="2" t="s">
        <v>12</v>
      </c>
      <c r="E7" s="2" t="s">
        <v>37</v>
      </c>
      <c r="F7" s="2" t="s">
        <v>106</v>
      </c>
      <c r="G7" s="1" t="s">
        <v>105</v>
      </c>
      <c r="H7" s="2" t="s">
        <v>126</v>
      </c>
      <c r="I7" s="2" t="s">
        <v>127</v>
      </c>
      <c r="J7" s="2" t="s">
        <v>128</v>
      </c>
      <c r="K7" s="2" t="s">
        <v>129</v>
      </c>
      <c r="L7" s="2" t="s">
        <v>130</v>
      </c>
      <c r="M7" s="2" t="s">
        <v>15</v>
      </c>
      <c r="N7" s="2" t="s">
        <v>46</v>
      </c>
      <c r="O7" s="2" t="s">
        <v>47</v>
      </c>
    </row>
    <row r="8" spans="1:15" ht="105" x14ac:dyDescent="0.25">
      <c r="A8" s="2" t="s">
        <v>24</v>
      </c>
      <c r="B8" s="2" t="s">
        <v>131</v>
      </c>
      <c r="C8" s="2" t="s">
        <v>48</v>
      </c>
      <c r="D8" s="2" t="s">
        <v>49</v>
      </c>
      <c r="E8" s="2" t="s">
        <v>37</v>
      </c>
      <c r="F8" s="2" t="s">
        <v>13</v>
      </c>
      <c r="G8" s="1" t="s">
        <v>102</v>
      </c>
      <c r="H8" s="2" t="s">
        <v>132</v>
      </c>
      <c r="I8" s="2" t="s">
        <v>133</v>
      </c>
      <c r="J8" s="2" t="s">
        <v>134</v>
      </c>
      <c r="K8" s="2" t="s">
        <v>135</v>
      </c>
      <c r="L8" s="2" t="s">
        <v>136</v>
      </c>
      <c r="M8" s="2" t="s">
        <v>15</v>
      </c>
      <c r="N8" s="2" t="s">
        <v>46</v>
      </c>
      <c r="O8" s="2" t="s">
        <v>47</v>
      </c>
    </row>
    <row r="9" spans="1:15" ht="90" x14ac:dyDescent="0.25">
      <c r="A9" s="2" t="s">
        <v>25</v>
      </c>
      <c r="B9" s="2" t="s">
        <v>137</v>
      </c>
      <c r="C9" s="2" t="s">
        <v>35</v>
      </c>
      <c r="D9" s="2" t="s">
        <v>51</v>
      </c>
      <c r="E9" s="2" t="s">
        <v>37</v>
      </c>
      <c r="F9" s="2" t="s">
        <v>13</v>
      </c>
      <c r="G9" s="1" t="s">
        <v>102</v>
      </c>
      <c r="H9" s="2" t="s">
        <v>138</v>
      </c>
      <c r="I9" s="2" t="s">
        <v>139</v>
      </c>
      <c r="J9" s="2" t="s">
        <v>140</v>
      </c>
      <c r="K9" s="2" t="s">
        <v>141</v>
      </c>
      <c r="L9" s="2" t="s">
        <v>142</v>
      </c>
      <c r="M9" s="2" t="s">
        <v>15</v>
      </c>
      <c r="N9" s="2" t="s">
        <v>46</v>
      </c>
      <c r="O9" s="2" t="s">
        <v>47</v>
      </c>
    </row>
    <row r="10" spans="1:15" ht="105" x14ac:dyDescent="0.25">
      <c r="A10" s="2" t="s">
        <v>26</v>
      </c>
      <c r="B10" s="2" t="s">
        <v>143</v>
      </c>
      <c r="C10" s="2" t="s">
        <v>11</v>
      </c>
      <c r="D10" s="2" t="s">
        <v>12</v>
      </c>
      <c r="E10" s="2" t="s">
        <v>37</v>
      </c>
      <c r="F10" s="2" t="s">
        <v>13</v>
      </c>
      <c r="G10" s="1" t="s">
        <v>103</v>
      </c>
      <c r="H10" s="2" t="s">
        <v>144</v>
      </c>
      <c r="I10" s="2" t="s">
        <v>145</v>
      </c>
      <c r="J10" s="2" t="s">
        <v>146</v>
      </c>
      <c r="K10" s="2" t="s">
        <v>147</v>
      </c>
      <c r="L10" s="2" t="s">
        <v>148</v>
      </c>
      <c r="M10" s="2" t="s">
        <v>15</v>
      </c>
      <c r="N10" s="2" t="s">
        <v>46</v>
      </c>
      <c r="O10" s="2" t="s">
        <v>47</v>
      </c>
    </row>
    <row r="11" spans="1:15" ht="90" x14ac:dyDescent="0.25">
      <c r="A11" s="2" t="s">
        <v>27</v>
      </c>
      <c r="B11" s="2" t="s">
        <v>149</v>
      </c>
      <c r="C11" s="2" t="s">
        <v>35</v>
      </c>
      <c r="D11" s="2" t="s">
        <v>12</v>
      </c>
      <c r="E11" s="2" t="s">
        <v>37</v>
      </c>
      <c r="F11" s="2" t="s">
        <v>99</v>
      </c>
      <c r="G11" s="1" t="s">
        <v>98</v>
      </c>
      <c r="H11" s="2" t="s">
        <v>150</v>
      </c>
      <c r="I11" s="2" t="s">
        <v>151</v>
      </c>
      <c r="J11" s="2" t="s">
        <v>152</v>
      </c>
      <c r="K11" s="2" t="s">
        <v>153</v>
      </c>
      <c r="L11" s="2" t="s">
        <v>154</v>
      </c>
      <c r="M11" s="2" t="s">
        <v>15</v>
      </c>
      <c r="N11" s="2" t="s">
        <v>46</v>
      </c>
      <c r="O11" s="2" t="s">
        <v>47</v>
      </c>
    </row>
    <row r="12" spans="1:15" ht="120" x14ac:dyDescent="0.25">
      <c r="A12" s="2" t="s">
        <v>28</v>
      </c>
      <c r="B12" s="2" t="s">
        <v>155</v>
      </c>
      <c r="C12" s="2" t="s">
        <v>48</v>
      </c>
      <c r="D12" s="2" t="s">
        <v>49</v>
      </c>
      <c r="E12" s="2" t="s">
        <v>37</v>
      </c>
      <c r="F12" s="2" t="s">
        <v>99</v>
      </c>
      <c r="G12" s="1" t="s">
        <v>100</v>
      </c>
      <c r="H12" s="2" t="s">
        <v>156</v>
      </c>
      <c r="I12" s="2" t="s">
        <v>157</v>
      </c>
      <c r="J12" s="2" t="s">
        <v>158</v>
      </c>
      <c r="K12" s="2" t="s">
        <v>159</v>
      </c>
      <c r="L12" s="2" t="s">
        <v>160</v>
      </c>
      <c r="M12" s="2" t="s">
        <v>15</v>
      </c>
      <c r="N12" s="2" t="s">
        <v>46</v>
      </c>
      <c r="O12" s="2" t="s">
        <v>47</v>
      </c>
    </row>
    <row r="13" spans="1:15" ht="120" x14ac:dyDescent="0.25">
      <c r="A13" s="2" t="s">
        <v>29</v>
      </c>
      <c r="B13" s="2" t="s">
        <v>161</v>
      </c>
      <c r="C13" s="2" t="s">
        <v>11</v>
      </c>
      <c r="D13" s="2" t="s">
        <v>12</v>
      </c>
      <c r="E13" s="2" t="s">
        <v>37</v>
      </c>
      <c r="F13" s="2" t="s">
        <v>99</v>
      </c>
      <c r="G13" s="1" t="s">
        <v>101</v>
      </c>
      <c r="H13" s="2" t="s">
        <v>162</v>
      </c>
      <c r="I13" s="2" t="s">
        <v>163</v>
      </c>
      <c r="J13" s="2" t="s">
        <v>164</v>
      </c>
      <c r="K13" s="2" t="s">
        <v>165</v>
      </c>
      <c r="L13" s="2" t="s">
        <v>166</v>
      </c>
      <c r="M13" s="2" t="s">
        <v>15</v>
      </c>
      <c r="N13" s="2" t="s">
        <v>46</v>
      </c>
      <c r="O13" s="2" t="s">
        <v>47</v>
      </c>
    </row>
    <row r="14" spans="1:15" ht="90" x14ac:dyDescent="0.25">
      <c r="A14" s="2" t="s">
        <v>30</v>
      </c>
      <c r="B14" s="2" t="s">
        <v>69</v>
      </c>
      <c r="C14" s="2" t="s">
        <v>48</v>
      </c>
      <c r="D14" s="2" t="s">
        <v>51</v>
      </c>
      <c r="E14" s="2" t="s">
        <v>37</v>
      </c>
      <c r="F14" s="2" t="s">
        <v>65</v>
      </c>
      <c r="G14" s="1" t="s">
        <v>68</v>
      </c>
      <c r="H14" s="2" t="s">
        <v>82</v>
      </c>
      <c r="I14" s="2" t="s">
        <v>83</v>
      </c>
      <c r="J14" s="2" t="s">
        <v>84</v>
      </c>
      <c r="K14" s="2" t="s">
        <v>85</v>
      </c>
      <c r="L14" s="2" t="s">
        <v>86</v>
      </c>
      <c r="M14" s="2" t="s">
        <v>15</v>
      </c>
      <c r="N14" s="2" t="s">
        <v>46</v>
      </c>
      <c r="O14" s="2" t="s">
        <v>47</v>
      </c>
    </row>
    <row r="15" spans="1:15" ht="90" x14ac:dyDescent="0.25">
      <c r="A15" s="2" t="s">
        <v>31</v>
      </c>
      <c r="B15" s="2" t="s">
        <v>76</v>
      </c>
      <c r="C15" s="2" t="s">
        <v>11</v>
      </c>
      <c r="D15" s="2" t="s">
        <v>12</v>
      </c>
      <c r="E15" s="2" t="s">
        <v>37</v>
      </c>
      <c r="F15" s="2" t="s">
        <v>65</v>
      </c>
      <c r="G15" s="1" t="s">
        <v>67</v>
      </c>
      <c r="H15" s="2" t="s">
        <v>77</v>
      </c>
      <c r="I15" s="2" t="s">
        <v>78</v>
      </c>
      <c r="J15" s="2" t="s">
        <v>80</v>
      </c>
      <c r="K15" s="2" t="s">
        <v>79</v>
      </c>
      <c r="L15" s="2" t="s">
        <v>81</v>
      </c>
      <c r="M15" s="2" t="s">
        <v>15</v>
      </c>
      <c r="N15" s="2" t="s">
        <v>46</v>
      </c>
      <c r="O15" s="2" t="s">
        <v>47</v>
      </c>
    </row>
    <row r="16" spans="1:15" ht="165" x14ac:dyDescent="0.25">
      <c r="A16" s="2" t="s">
        <v>32</v>
      </c>
      <c r="B16" s="2" t="s">
        <v>70</v>
      </c>
      <c r="C16" s="2" t="s">
        <v>11</v>
      </c>
      <c r="D16" s="2" t="s">
        <v>12</v>
      </c>
      <c r="E16" s="2" t="s">
        <v>37</v>
      </c>
      <c r="F16" s="2" t="s">
        <v>65</v>
      </c>
      <c r="G16" s="1" t="s">
        <v>66</v>
      </c>
      <c r="H16" s="2" t="s">
        <v>71</v>
      </c>
      <c r="I16" s="2" t="s">
        <v>72</v>
      </c>
      <c r="J16" s="2" t="s">
        <v>73</v>
      </c>
      <c r="K16" s="2" t="s">
        <v>74</v>
      </c>
      <c r="L16" s="2" t="s">
        <v>75</v>
      </c>
      <c r="M16" s="2" t="s">
        <v>15</v>
      </c>
      <c r="N16" s="2" t="s">
        <v>46</v>
      </c>
      <c r="O16" s="2" t="s">
        <v>47</v>
      </c>
    </row>
    <row r="17" spans="1:15" ht="135" x14ac:dyDescent="0.25">
      <c r="A17" s="2" t="s">
        <v>33</v>
      </c>
      <c r="B17" s="2" t="s">
        <v>87</v>
      </c>
      <c r="C17" s="2" t="s">
        <v>59</v>
      </c>
      <c r="D17" s="2" t="s">
        <v>52</v>
      </c>
      <c r="E17" s="2" t="s">
        <v>37</v>
      </c>
      <c r="F17" s="2" t="s">
        <v>88</v>
      </c>
      <c r="G17" s="1" t="s">
        <v>89</v>
      </c>
      <c r="H17" s="2" t="s">
        <v>90</v>
      </c>
      <c r="I17" s="2" t="s">
        <v>91</v>
      </c>
      <c r="J17" s="2" t="s">
        <v>92</v>
      </c>
      <c r="K17" s="2" t="s">
        <v>93</v>
      </c>
      <c r="L17" s="2" t="s">
        <v>94</v>
      </c>
      <c r="M17" s="2" t="s">
        <v>15</v>
      </c>
      <c r="N17" s="2" t="s">
        <v>46</v>
      </c>
      <c r="O17" s="2" t="s">
        <v>47</v>
      </c>
    </row>
    <row r="18" spans="1:15" ht="75" x14ac:dyDescent="0.25">
      <c r="A18" s="2" t="s">
        <v>34</v>
      </c>
      <c r="B18" s="2" t="s">
        <v>58</v>
      </c>
      <c r="C18" s="2" t="s">
        <v>59</v>
      </c>
      <c r="D18" s="2" t="s">
        <v>52</v>
      </c>
      <c r="E18" s="2" t="s">
        <v>37</v>
      </c>
      <c r="F18" s="2" t="s">
        <v>38</v>
      </c>
      <c r="G18" s="1" t="s">
        <v>60</v>
      </c>
      <c r="H18" s="2" t="s">
        <v>61</v>
      </c>
      <c r="I18" s="2" t="s">
        <v>62</v>
      </c>
      <c r="J18" s="2" t="s">
        <v>43</v>
      </c>
      <c r="K18" s="2" t="s">
        <v>63</v>
      </c>
      <c r="L18" s="2" t="s">
        <v>64</v>
      </c>
      <c r="M18" s="2" t="s">
        <v>15</v>
      </c>
      <c r="N18" s="2" t="s">
        <v>46</v>
      </c>
      <c r="O18" s="2" t="s">
        <v>47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9AE7D-5EBE-4A28-A96D-24555D3B31E2}">
  <dimension ref="A1:F35"/>
  <sheetViews>
    <sheetView tabSelected="1" workbookViewId="0">
      <selection activeCell="D6" sqref="D6"/>
    </sheetView>
  </sheetViews>
  <sheetFormatPr defaultRowHeight="15" x14ac:dyDescent="0.25"/>
  <cols>
    <col min="1" max="1" width="21.7109375" bestFit="1" customWidth="1"/>
    <col min="2" max="2" width="11" customWidth="1"/>
    <col min="3" max="3" width="10.7109375" customWidth="1"/>
    <col min="5" max="5" width="9.28515625" customWidth="1"/>
  </cols>
  <sheetData>
    <row r="1" spans="1:5" x14ac:dyDescent="0.25">
      <c r="A1" s="7" t="s">
        <v>2</v>
      </c>
      <c r="B1" s="8" t="s">
        <v>170</v>
      </c>
    </row>
    <row r="2" spans="1:5" x14ac:dyDescent="0.25">
      <c r="A2" s="5" t="s">
        <v>59</v>
      </c>
      <c r="B2" s="6">
        <f>COUNTIF(Table1[Severity],Charts!A2)</f>
        <v>2</v>
      </c>
    </row>
    <row r="3" spans="1:5" x14ac:dyDescent="0.25">
      <c r="A3" s="5" t="s">
        <v>48</v>
      </c>
      <c r="B3" s="6">
        <f>COUNTIF(Table1[Severity],Charts!A3)</f>
        <v>3</v>
      </c>
    </row>
    <row r="4" spans="1:5" x14ac:dyDescent="0.25">
      <c r="A4" s="5" t="s">
        <v>35</v>
      </c>
      <c r="B4" s="6">
        <f>COUNTIF(Table1[Severity],Charts!A4)</f>
        <v>6</v>
      </c>
    </row>
    <row r="5" spans="1:5" x14ac:dyDescent="0.25">
      <c r="A5" s="5" t="s">
        <v>11</v>
      </c>
      <c r="B5" s="6">
        <f>COUNTIF(Table1[Severity],Charts!A5)</f>
        <v>6</v>
      </c>
    </row>
    <row r="6" spans="1:5" x14ac:dyDescent="0.25">
      <c r="A6" s="20" t="s">
        <v>167</v>
      </c>
      <c r="B6" s="18">
        <f>SUM(B2:B5)</f>
        <v>17</v>
      </c>
    </row>
    <row r="7" spans="1:5" x14ac:dyDescent="0.25">
      <c r="A7" s="9"/>
      <c r="B7" s="15"/>
    </row>
    <row r="8" spans="1:5" x14ac:dyDescent="0.25">
      <c r="A8" s="15"/>
      <c r="B8" s="14"/>
      <c r="C8" s="12"/>
      <c r="D8" s="12"/>
      <c r="E8" s="12"/>
    </row>
    <row r="9" spans="1:5" x14ac:dyDescent="0.25">
      <c r="A9" s="11" t="s">
        <v>168</v>
      </c>
      <c r="B9" s="16" t="s">
        <v>59</v>
      </c>
      <c r="C9" s="3" t="s">
        <v>48</v>
      </c>
      <c r="D9" s="3" t="s">
        <v>35</v>
      </c>
      <c r="E9" s="6" t="s">
        <v>11</v>
      </c>
    </row>
    <row r="10" spans="1:5" x14ac:dyDescent="0.25">
      <c r="A10" s="3" t="s">
        <v>106</v>
      </c>
      <c r="B10" s="3">
        <v>0</v>
      </c>
      <c r="C10" s="3">
        <v>0</v>
      </c>
      <c r="D10" s="3">
        <v>1</v>
      </c>
      <c r="E10" s="6">
        <v>1</v>
      </c>
    </row>
    <row r="11" spans="1:5" x14ac:dyDescent="0.25">
      <c r="A11" s="3" t="s">
        <v>65</v>
      </c>
      <c r="B11" s="3">
        <v>0</v>
      </c>
      <c r="C11" s="3">
        <v>1</v>
      </c>
      <c r="D11" s="3">
        <v>0</v>
      </c>
      <c r="E11" s="6">
        <v>2</v>
      </c>
    </row>
    <row r="12" spans="1:5" x14ac:dyDescent="0.25">
      <c r="A12" s="3" t="s">
        <v>38</v>
      </c>
      <c r="B12" s="3">
        <v>1</v>
      </c>
      <c r="C12" s="3">
        <v>0</v>
      </c>
      <c r="D12" s="3">
        <v>2</v>
      </c>
      <c r="E12" s="6">
        <v>0</v>
      </c>
    </row>
    <row r="13" spans="1:5" x14ac:dyDescent="0.25">
      <c r="A13" s="3" t="s">
        <v>95</v>
      </c>
      <c r="B13" s="3">
        <v>0</v>
      </c>
      <c r="C13" s="3">
        <v>0</v>
      </c>
      <c r="D13" s="3">
        <v>1</v>
      </c>
      <c r="E13" s="6">
        <v>1</v>
      </c>
    </row>
    <row r="14" spans="1:5" x14ac:dyDescent="0.25">
      <c r="A14" s="3" t="s">
        <v>13</v>
      </c>
      <c r="B14" s="3">
        <v>0</v>
      </c>
      <c r="C14" s="3">
        <v>1</v>
      </c>
      <c r="D14" s="3">
        <v>1</v>
      </c>
      <c r="E14" s="6">
        <v>1</v>
      </c>
    </row>
    <row r="15" spans="1:5" x14ac:dyDescent="0.25">
      <c r="A15" s="3" t="s">
        <v>99</v>
      </c>
      <c r="B15" s="3">
        <v>0</v>
      </c>
      <c r="C15" s="3">
        <v>1</v>
      </c>
      <c r="D15" s="3">
        <v>1</v>
      </c>
      <c r="E15" s="6">
        <v>1</v>
      </c>
    </row>
    <row r="16" spans="1:5" x14ac:dyDescent="0.25">
      <c r="A16" s="3" t="s">
        <v>88</v>
      </c>
      <c r="B16" s="3">
        <v>1</v>
      </c>
      <c r="C16" s="3">
        <v>0</v>
      </c>
      <c r="D16" s="3">
        <v>0</v>
      </c>
      <c r="E16" s="6">
        <v>0</v>
      </c>
    </row>
    <row r="17" spans="1:6" x14ac:dyDescent="0.25">
      <c r="A17" s="17" t="s">
        <v>167</v>
      </c>
      <c r="B17" s="17">
        <f>SUM(B10:B16)</f>
        <v>2</v>
      </c>
      <c r="C17" s="17">
        <f t="shared" ref="C17:E17" si="0">SUM(C10:C16)</f>
        <v>3</v>
      </c>
      <c r="D17" s="17">
        <f t="shared" si="0"/>
        <v>6</v>
      </c>
      <c r="E17" s="18">
        <f t="shared" si="0"/>
        <v>6</v>
      </c>
      <c r="F17" s="19">
        <f>SUM(B17:E17)</f>
        <v>17</v>
      </c>
    </row>
    <row r="19" spans="1:6" x14ac:dyDescent="0.25">
      <c r="A19" s="7" t="s">
        <v>3</v>
      </c>
      <c r="B19" s="8" t="s">
        <v>170</v>
      </c>
    </row>
    <row r="20" spans="1:6" x14ac:dyDescent="0.25">
      <c r="A20" s="5" t="s">
        <v>12</v>
      </c>
      <c r="B20" s="6">
        <f>COUNTIF('Defect Log'!D2:D19,A20)</f>
        <v>9</v>
      </c>
    </row>
    <row r="21" spans="1:6" x14ac:dyDescent="0.25">
      <c r="A21" s="5" t="s">
        <v>51</v>
      </c>
      <c r="B21" s="6">
        <f>COUNTIF('Defect Log'!D3:D20,A21)</f>
        <v>4</v>
      </c>
    </row>
    <row r="22" spans="1:6" x14ac:dyDescent="0.25">
      <c r="A22" s="5" t="s">
        <v>49</v>
      </c>
      <c r="B22" s="6">
        <f>COUNTIF('Defect Log'!D4:D21,A22)</f>
        <v>2</v>
      </c>
    </row>
    <row r="23" spans="1:6" x14ac:dyDescent="0.25">
      <c r="A23" s="5" t="s">
        <v>52</v>
      </c>
      <c r="B23" s="6">
        <f>COUNTIF('Defect Log'!D5:D22,A23)</f>
        <v>2</v>
      </c>
    </row>
    <row r="24" spans="1:6" x14ac:dyDescent="0.25">
      <c r="A24" s="20" t="s">
        <v>167</v>
      </c>
      <c r="B24" s="18">
        <f>SUM(B20:B23)</f>
        <v>17</v>
      </c>
    </row>
    <row r="26" spans="1:6" x14ac:dyDescent="0.25">
      <c r="B26" s="14"/>
      <c r="C26" s="14"/>
      <c r="D26" s="14"/>
      <c r="E26" s="14"/>
    </row>
    <row r="27" spans="1:6" x14ac:dyDescent="0.25">
      <c r="A27" s="13" t="s">
        <v>169</v>
      </c>
      <c r="B27" s="4" t="s">
        <v>12</v>
      </c>
      <c r="C27" s="4" t="s">
        <v>51</v>
      </c>
      <c r="D27" s="4" t="s">
        <v>49</v>
      </c>
      <c r="E27" s="10" t="s">
        <v>52</v>
      </c>
    </row>
    <row r="28" spans="1:6" x14ac:dyDescent="0.25">
      <c r="A28" s="3" t="s">
        <v>106</v>
      </c>
      <c r="B28" s="3">
        <v>2</v>
      </c>
      <c r="C28" s="3">
        <v>0</v>
      </c>
      <c r="D28" s="3">
        <v>0</v>
      </c>
      <c r="E28" s="6">
        <v>0</v>
      </c>
    </row>
    <row r="29" spans="1:6" x14ac:dyDescent="0.25">
      <c r="A29" s="3" t="s">
        <v>65</v>
      </c>
      <c r="B29" s="3">
        <v>2</v>
      </c>
      <c r="C29" s="3">
        <v>1</v>
      </c>
      <c r="D29" s="3">
        <v>0</v>
      </c>
      <c r="E29" s="6">
        <v>0</v>
      </c>
    </row>
    <row r="30" spans="1:6" x14ac:dyDescent="0.25">
      <c r="A30" s="3" t="s">
        <v>38</v>
      </c>
      <c r="B30" s="3">
        <v>1</v>
      </c>
      <c r="C30" s="3">
        <v>1</v>
      </c>
      <c r="D30" s="3">
        <v>0</v>
      </c>
      <c r="E30" s="6">
        <v>1</v>
      </c>
    </row>
    <row r="31" spans="1:6" x14ac:dyDescent="0.25">
      <c r="A31" s="3" t="s">
        <v>95</v>
      </c>
      <c r="B31" s="3">
        <v>1</v>
      </c>
      <c r="C31" s="3">
        <v>1</v>
      </c>
      <c r="D31" s="3">
        <v>0</v>
      </c>
      <c r="E31" s="6">
        <v>0</v>
      </c>
    </row>
    <row r="32" spans="1:6" x14ac:dyDescent="0.25">
      <c r="A32" s="3" t="s">
        <v>13</v>
      </c>
      <c r="B32" s="3">
        <v>1</v>
      </c>
      <c r="C32" s="3">
        <v>1</v>
      </c>
      <c r="D32" s="3">
        <v>1</v>
      </c>
      <c r="E32" s="6">
        <v>0</v>
      </c>
    </row>
    <row r="33" spans="1:6" x14ac:dyDescent="0.25">
      <c r="A33" s="3" t="s">
        <v>99</v>
      </c>
      <c r="B33" s="3">
        <v>2</v>
      </c>
      <c r="C33" s="3">
        <v>0</v>
      </c>
      <c r="D33" s="3">
        <v>1</v>
      </c>
      <c r="E33" s="6">
        <v>0</v>
      </c>
    </row>
    <row r="34" spans="1:6" x14ac:dyDescent="0.25">
      <c r="A34" s="3" t="s">
        <v>88</v>
      </c>
      <c r="B34" s="3">
        <v>0</v>
      </c>
      <c r="C34" s="3">
        <v>0</v>
      </c>
      <c r="D34" s="3">
        <v>0</v>
      </c>
      <c r="E34" s="6">
        <v>1</v>
      </c>
    </row>
    <row r="35" spans="1:6" x14ac:dyDescent="0.25">
      <c r="A35" s="17" t="s">
        <v>167</v>
      </c>
      <c r="B35" s="17">
        <f>+SUM(B28:B34)</f>
        <v>9</v>
      </c>
      <c r="C35" s="17">
        <f t="shared" ref="C35:E35" si="1">+SUM(C28:C34)</f>
        <v>4</v>
      </c>
      <c r="D35" s="17">
        <f t="shared" si="1"/>
        <v>2</v>
      </c>
      <c r="E35" s="18">
        <f t="shared" si="1"/>
        <v>2</v>
      </c>
      <c r="F35" s="19">
        <f>SUM(B35:E35)</f>
        <v>17</v>
      </c>
    </row>
  </sheetData>
  <phoneticPr fontId="1" type="noConversion"/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 Log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Jaydee Venter</dc:creator>
  <cp:lastModifiedBy>Jaydee Venter</cp:lastModifiedBy>
  <dcterms:created xsi:type="dcterms:W3CDTF">2015-06-05T18:17:20Z</dcterms:created>
  <dcterms:modified xsi:type="dcterms:W3CDTF">2026-07-11T13:01:49Z</dcterms:modified>
</cp:coreProperties>
</file>