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 Simulation Project (WIL)\BankCoreSolution\BankCore.TestDocs\"/>
    </mc:Choice>
  </mc:AlternateContent>
  <xr:revisionPtr revIDLastSave="0" documentId="13_ncr:1_{DA472C4A-C78F-4643-AB85-3C27980A9376}" xr6:coauthVersionLast="47" xr6:coauthVersionMax="47" xr10:uidLastSave="{00000000-0000-0000-0000-000000000000}"/>
  <bookViews>
    <workbookView xWindow="-120" yWindow="-120" windowWidth="29040" windowHeight="15720" xr2:uid="{48CDA8B3-2EDE-400A-9EF4-701443715CC2}"/>
  </bookViews>
  <sheets>
    <sheet name="Sheet1" sheetId="1" r:id="rId1"/>
  </sheets>
  <definedNames>
    <definedName name="_Toc231195964" localSheetId="0">Sheet1!$B$1</definedName>
    <definedName name="_Toc231195965" localSheetId="0">Sheet1!$B$4</definedName>
    <definedName name="_Toc231195966" localSheetId="0">Sheet1!$A$12</definedName>
    <definedName name="_Toc231195967" localSheetId="0">Sheet1!$A$14</definedName>
    <definedName name="_Toc231195968" localSheetId="0">Sheet1!$A$17</definedName>
    <definedName name="_Toc231195969" localSheetId="0">Sheet1!$A$20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H14" i="1"/>
  <c r="H15" i="1"/>
  <c r="I2" i="1"/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<sst xmlns="http://schemas.openxmlformats.org/spreadsheetml/2006/main" count="45" uniqueCount="24">
  <si>
    <t>Run #</t>
  </si>
  <si>
    <t>Date</t>
  </si>
  <si>
    <t>Total TCs</t>
  </si>
  <si>
    <t>Passed</t>
  </si>
  <si>
    <t>Failed</t>
  </si>
  <si>
    <t>Blocked</t>
  </si>
  <si>
    <t>Not Run</t>
  </si>
  <si>
    <t>Pass Rate</t>
  </si>
  <si>
    <t>Run 1</t>
  </si>
  <si>
    <t>Module</t>
  </si>
  <si>
    <t>Account Management</t>
  </si>
  <si>
    <t>Authentication</t>
  </si>
  <si>
    <t>Validation Library</t>
  </si>
  <si>
    <t>Transaction Engine</t>
  </si>
  <si>
    <t>Reporting Engine</t>
  </si>
  <si>
    <t>Interest Calculator</t>
  </si>
  <si>
    <t>Loan Processing</t>
  </si>
  <si>
    <t>06/07/2026</t>
  </si>
  <si>
    <t>OVERALL TEST EXECUTION SUMMARY</t>
  </si>
  <si>
    <t>Run 1
Baseline</t>
  </si>
  <si>
    <t>Run 2
After Fix 1</t>
  </si>
  <si>
    <t>Run 3
Regression</t>
  </si>
  <si>
    <t>07/07/2026</t>
  </si>
  <si>
    <t>08/07/2026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</si>
</sst>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4">
    <dxf>
      <numFmt numFmtId="14" formatCode="0.00%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52813-4D54-42CD-A44C-E04C13293120}" name="Table1" displayName="Table1" ref="A1:I8" totalsRowShown="0">
  <autoFilter ref="A1:I8" xr:uid="{FF652813-4D54-42CD-A44C-E04C13293120}"/>
  <tableColumns count="9">
    <tableColumn id="9" xr3:uid="{72EA3245-2184-4201-A2F3-EB2769038A77}" name="Module"/>
    <tableColumn id="1" xr3:uid="{6738A14B-4CB3-41C8-B08E-B55D3022AA39}" name="Run #"/>
    <tableColumn id="2" xr3:uid="{F6C9A279-EDDA-450F-A0ED-2B8ED75302DC}" name="Date" dataDxfId="3"/>
    <tableColumn id="3" xr3:uid="{80767A4E-3335-4612-A540-CC062A7371F2}" name="Total TCs"/>
    <tableColumn id="4" xr3:uid="{2A18B950-42BA-4B9C-98DE-EF480DCB5010}" name="Passed"/>
    <tableColumn id="5" xr3:uid="{1BBE3DB0-93BE-4461-BB6D-A25BA06861D0}" name="Failed"/>
    <tableColumn id="6" xr3:uid="{1BD4F800-9A99-4372-9648-B2409C60E754}" name="Blocked"/>
    <tableColumn id="7" xr3:uid="{0EA32AB2-37BA-4648-9AF2-79821946BC7D}" name="Not Run"/>
    <tableColumn id="8" xr3:uid="{9FF59E98-1BC7-40FC-A0CE-A21C43A4F0E8}" name="Pass Rate" dataDxfId="2">
      <calculatedColumnFormula>Table1[[#This Row],[Passed]]/Table1[[#This Row],[Total TCs]]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461FD-8C0F-4C36-8EF0-13888CF9FE84}" name="Table2" displayName="Table2" ref="A12:H15" totalsRowShown="0">
  <autoFilter ref="A12:H15" xr:uid="{D63461FD-8C0F-4C36-8EF0-13888CF9FE84}"/>
  <tableColumns count="8">
    <tableColumn id="1" xr3:uid="{7BB0B7E0-79B3-4486-94E6-18C101EF579C}" name="Run #" dataDxfId="1"/>
    <tableColumn id="2" xr3:uid="{A053DC88-E076-4A91-A1C7-F03FCA2B457A}" name="Date"/>
    <tableColumn id="3" xr3:uid="{B327D86F-E10A-4214-9602-245A713895FB}" name="Total TCs"/>
    <tableColumn id="4" xr3:uid="{21352E05-FEA5-45E6-B757-9771E1D52513}" name="Passed"/>
    <tableColumn id="5" xr3:uid="{3E0C5A41-E265-4B3C-ADA3-D5DDB34F56D3}" name="Failed"/>
    <tableColumn id="6" xr3:uid="{9C8F94A4-0500-4A9A-A316-F5E55F12E2DE}" name="Blocked"/>
    <tableColumn id="7" xr3:uid="{848B379D-CDBC-4C28-9165-EBC65AC14434}" name="Not Run"/>
    <tableColumn id="8" xr3:uid="{44565368-CEE0-406E-B97E-430859D3250C}" name="Pass Rate" dataDxfId="0">
      <calculatedColumnFormula>Table2[[#This Row],[Passed]]/Table2[[#This Row],[Total TCs]]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5815-ACA4-499E-BB5B-C1879A856135}">
  <dimension ref="A1:I15"/>
  <sheetViews>
    <sheetView tabSelected="1" workbookViewId="0">
      <selection activeCell="A11" sqref="A11:H15"/>
    </sheetView>
  </sheetViews>
  <sheetFormatPr defaultRowHeight="15" x14ac:dyDescent="0.25"/>
  <cols>
    <col min="1" max="1" width="20.28515625" bestFit="1" customWidth="1"/>
    <col min="2" max="2" width="10.42578125" bestFit="1" customWidth="1"/>
    <col min="3" max="3" width="11.42578125" customWidth="1"/>
    <col min="4" max="4" width="21.140625" customWidth="1"/>
    <col min="5" max="5" width="9.5703125" customWidth="1"/>
    <col min="6" max="6" width="10.28515625" customWidth="1"/>
    <col min="7" max="7" width="10.42578125" customWidth="1"/>
    <col min="8" max="9" width="11.85546875" customWidth="1"/>
  </cols>
  <sheetData>
    <row r="1" spans="1:9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10</v>
      </c>
      <c r="B2" t="s">
        <v>8</v>
      </c>
      <c r="C2" s="1" t="s">
        <v>17</v>
      </c>
      <c r="D2">
        <v>46</v>
      </c>
      <c r="E2">
        <v>43</v>
      </c>
      <c r="F2">
        <v>3</v>
      </c>
      <c r="G2">
        <v>0</v>
      </c>
      <c r="H2">
        <v>0</v>
      </c>
      <c r="I2" s="2">
        <f>Table1[[#This Row],[Passed]]/Table1[[#This Row],[Total TCs]]</f>
        <v>0.93478260869565222</v>
      </c>
    </row>
    <row r="3" spans="1:9" x14ac:dyDescent="0.25">
      <c r="A3" t="s">
        <v>11</v>
      </c>
      <c r="B3" t="s">
        <v>8</v>
      </c>
      <c r="C3" s="1" t="s">
        <v>17</v>
      </c>
      <c r="D3">
        <v>32</v>
      </c>
      <c r="E3">
        <v>29</v>
      </c>
      <c r="F3">
        <v>2</v>
      </c>
      <c r="G3">
        <v>0</v>
      </c>
      <c r="H3">
        <v>1</v>
      </c>
      <c r="I3" s="2">
        <f>Table1[[#This Row],[Passed]]/Table1[[#This Row],[Total TCs]]</f>
        <v>0.90625</v>
      </c>
    </row>
    <row r="4" spans="1:9" x14ac:dyDescent="0.25">
      <c r="A4" t="s">
        <v>12</v>
      </c>
      <c r="B4" t="s">
        <v>8</v>
      </c>
      <c r="C4" s="1" t="s">
        <v>17</v>
      </c>
      <c r="D4">
        <v>48</v>
      </c>
      <c r="E4">
        <v>43</v>
      </c>
      <c r="F4">
        <v>5</v>
      </c>
      <c r="G4">
        <v>0</v>
      </c>
      <c r="H4">
        <v>0</v>
      </c>
      <c r="I4" s="2">
        <f>Table1[[#This Row],[Passed]]/Table1[[#This Row],[Total TCs]]</f>
        <v>0.89583333333333337</v>
      </c>
    </row>
    <row r="5" spans="1:9" x14ac:dyDescent="0.25">
      <c r="A5" t="s">
        <v>13</v>
      </c>
      <c r="B5" t="s">
        <v>8</v>
      </c>
      <c r="C5" s="1" t="s">
        <v>17</v>
      </c>
      <c r="D5">
        <v>60</v>
      </c>
      <c r="E5">
        <v>57</v>
      </c>
      <c r="F5">
        <v>3</v>
      </c>
      <c r="G5">
        <v>0</v>
      </c>
      <c r="H5">
        <v>0</v>
      </c>
      <c r="I5" s="2">
        <f>Table1[[#This Row],[Passed]]/Table1[[#This Row],[Total TCs]]</f>
        <v>0.95</v>
      </c>
    </row>
    <row r="6" spans="1:9" x14ac:dyDescent="0.25">
      <c r="A6" t="s">
        <v>14</v>
      </c>
      <c r="B6" t="s">
        <v>8</v>
      </c>
      <c r="C6" s="1" t="s">
        <v>17</v>
      </c>
      <c r="D6">
        <v>10</v>
      </c>
      <c r="E6">
        <v>10</v>
      </c>
      <c r="F6">
        <v>0</v>
      </c>
      <c r="G6">
        <v>0</v>
      </c>
      <c r="H6">
        <v>0</v>
      </c>
      <c r="I6" s="2">
        <f>Table1[[#This Row],[Passed]]/Table1[[#This Row],[Total TCs]]</f>
        <v>1</v>
      </c>
    </row>
    <row r="7" spans="1:9" x14ac:dyDescent="0.25">
      <c r="A7" t="s">
        <v>15</v>
      </c>
      <c r="B7" t="s">
        <v>8</v>
      </c>
      <c r="C7" s="1" t="s">
        <v>17</v>
      </c>
      <c r="D7">
        <v>62</v>
      </c>
      <c r="E7">
        <v>47</v>
      </c>
      <c r="F7">
        <v>15</v>
      </c>
      <c r="G7">
        <v>0</v>
      </c>
      <c r="H7">
        <v>0</v>
      </c>
      <c r="I7" s="2">
        <f>Table1[[#This Row],[Passed]]/Table1[[#This Row],[Total TCs]]</f>
        <v>0.75806451612903225</v>
      </c>
    </row>
    <row r="8" spans="1:9" x14ac:dyDescent="0.25">
      <c r="A8" t="s">
        <v>16</v>
      </c>
      <c r="B8" t="s">
        <v>8</v>
      </c>
      <c r="C8" s="1" t="s">
        <v>17</v>
      </c>
      <c r="D8">
        <v>23</v>
      </c>
      <c r="E8">
        <v>20</v>
      </c>
      <c r="F8">
        <v>3</v>
      </c>
      <c r="G8">
        <v>0</v>
      </c>
      <c r="H8">
        <v>0</v>
      </c>
      <c r="I8" s="2">
        <f>Table1[[#This Row],[Passed]]/Table1[[#This Row],[Total TCs]]</f>
        <v>0.86956521739130432</v>
      </c>
    </row>
    <row r="11" spans="1:9" x14ac:dyDescent="0.25">
      <c r="A11" s="4" t="s">
        <v>18</v>
      </c>
      <c r="B11" s="5"/>
      <c r="C11" s="5"/>
      <c r="D11" s="5"/>
      <c r="E11" s="5"/>
      <c r="F11" s="5"/>
      <c r="G11" s="5"/>
      <c r="H11" s="6"/>
    </row>
    <row r="12" spans="1:9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9" ht="30" x14ac:dyDescent="0.25">
      <c r="A13" s="3" t="s">
        <v>19</v>
      </c>
      <c r="B13" t="s">
        <v>17</v>
      </c>
      <c r="C13">
        <v>281</v>
      </c>
      <c r="D13">
        <v>249</v>
      </c>
      <c r="E13">
        <v>31</v>
      </c>
      <c r="F13">
        <v>0</v>
      </c>
      <c r="G13">
        <v>1</v>
      </c>
      <c r="H13" s="2">
        <f>Table2[[#This Row],[Passed]]/Table2[[#This Row],[Total TCs]]</f>
        <v>0.88612099644128117</v>
      </c>
    </row>
    <row r="14" spans="1:9" ht="30" x14ac:dyDescent="0.25">
      <c r="A14" s="3" t="s">
        <v>20</v>
      </c>
      <c r="B14" t="s">
        <v>22</v>
      </c>
      <c r="C14">
        <v>31</v>
      </c>
      <c r="D14">
        <v>31</v>
      </c>
      <c r="E14">
        <v>0</v>
      </c>
      <c r="F14">
        <v>0</v>
      </c>
      <c r="G14">
        <v>0</v>
      </c>
      <c r="H14" s="2">
        <f>Table2[[#This Row],[Passed]]/Table2[[#This Row],[Total TCs]]</f>
        <v>1</v>
      </c>
    </row>
    <row r="15" spans="1:9" ht="30" x14ac:dyDescent="0.25">
      <c r="A15" s="3" t="s">
        <v>21</v>
      </c>
      <c r="B15" t="s">
        <v>23</v>
      </c>
      <c r="C15">
        <v>115</v>
      </c>
      <c r="D15">
        <v>115</v>
      </c>
      <c r="E15">
        <v>0</v>
      </c>
      <c r="F15">
        <v>0</v>
      </c>
      <c r="G15">
        <v>0</v>
      </c>
      <c r="H15" s="2">
        <f>Table2[[#This Row],[Passed]]/Table2[[#This Row],[Total TCs]]</f>
        <v>1</v>
      </c>
    </row>
  </sheetData>
  <mergeCells count="1">
    <mergeCell ref="A11:H11"/>
  </mergeCells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Sheet1!_Toc231195964</vt:lpstr>
      <vt:lpstr>Sheet1!_Toc231195965</vt:lpstr>
      <vt:lpstr>Sheet1!_Toc231195966</vt:lpstr>
      <vt:lpstr>Sheet1!_Toc231195967</vt:lpstr>
      <vt:lpstr>Sheet1!_Toc231195968</vt:lpstr>
      <vt:lpstr>Sheet1!_Toc231195969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2026-07-07T07:46:59Z</dcterms:created>
  <dcterms:modified xsi:type="dcterms:W3CDTF">2026-07-09T13:08:32Z</dcterms:modified>
</cp:coreProperties>
</file>